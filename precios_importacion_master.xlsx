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en\Documents\"/>
    </mc:Choice>
  </mc:AlternateContent>
  <xr:revisionPtr revIDLastSave="0" documentId="8_{8ACDCD80-A8EB-481A-A2FF-05039C941700}" xr6:coauthVersionLast="47" xr6:coauthVersionMax="47" xr10:uidLastSave="{00000000-0000-0000-0000-000000000000}"/>
  <bookViews>
    <workbookView xWindow="-120" yWindow="-120" windowWidth="19440" windowHeight="15000" xr2:uid="{10B05E50-A910-4B7F-9067-348299848FA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</calcChain>
</file>

<file path=xl/sharedStrings.xml><?xml version="1.0" encoding="utf-8"?>
<sst xmlns="http://schemas.openxmlformats.org/spreadsheetml/2006/main" count="40" uniqueCount="20">
  <si>
    <t>codigo</t>
  </si>
  <si>
    <t>descripcion</t>
  </si>
  <si>
    <t>categoria</t>
  </si>
  <si>
    <t xml:space="preserve"> categoria producto</t>
  </si>
  <si>
    <t>impuesto aplicable</t>
  </si>
  <si>
    <t>software</t>
  </si>
  <si>
    <t>programa ofiice</t>
  </si>
  <si>
    <t>hardware</t>
  </si>
  <si>
    <t>monitor hp</t>
  </si>
  <si>
    <t>excel</t>
  </si>
  <si>
    <t>teclado</t>
  </si>
  <si>
    <t>windows</t>
  </si>
  <si>
    <t>mouse</t>
  </si>
  <si>
    <t>impresora</t>
  </si>
  <si>
    <t>bocinas</t>
  </si>
  <si>
    <t>rj45</t>
  </si>
  <si>
    <t>cables</t>
  </si>
  <si>
    <t>tasa impuesto</t>
  </si>
  <si>
    <t xml:space="preserve">redes </t>
  </si>
  <si>
    <t>licencia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</si>
</sst>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font>
        <b/>
        <i/>
        <u/>
      </font>
      <fill>
        <patternFill>
          <bgColor rgb="FFFFCCFF"/>
        </patternFill>
      </fill>
      <border diagonalDown="1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diagonal style="thick">
          <color auto="1"/>
        </diagonal>
        <vertical style="double">
          <color auto="1"/>
        </vertical>
        <horizontal style="double">
          <color auto="1"/>
        </horizontal>
      </border>
    </dxf>
    <dxf>
      <numFmt numFmtId="13" formatCode="0%"/>
    </dxf>
  </dxfs>
  <tableStyles count="1" defaultTableStyle="TableStyleMedium2" defaultPivotStyle="PivotStyleLight16">
    <tableStyle name="Estilo de tabla 1" pivot="0" count="1" xr9:uid="{DAB10463-9237-4158-9676-64AE88D87C2C}">
      <tableStyleElement type="wholeTable" dxfId="1"/>
    </tableStyle>
  </tableStyles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2DF2CB-94E5-4F9C-B68E-417D52DB9A8A}" name="Tabla2" displayName="Tabla2" ref="A1:D17" totalsRowShown="0">
  <autoFilter ref="A1:D17" xr:uid="{6D2DF2CB-94E5-4F9C-B68E-417D52DB9A8A}"/>
  <tableColumns count="4">
    <tableColumn id="1" xr3:uid="{C19DF8B3-2E27-4AC3-BCC8-0A22239F8ED9}" name="codigo"/>
    <tableColumn id="2" xr3:uid="{CD29FD0B-3818-41DD-9815-611C715C84CE}" name="descripcion"/>
    <tableColumn id="3" xr3:uid="{E617251D-583D-4C05-B4F6-A9D04685E59F}" name=" categoria producto"/>
    <tableColumn id="4" xr3:uid="{A050B16C-6D6B-43FB-9E1B-31D013AD8578}" name="impuesto aplicable" dataDxfId="0">
      <calculatedColumnFormula>VLOOKUP(Tabla2[[#This Row],[ categoria producto]],Tabla1[],2,FALSE)</calculatedColumnFormula>
    </tableColumn>
  </tableColumns>
  <tableStyleInfo name="Estilo de tab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614BBA-0994-40B6-B859-B7508C425D3C}" name="Tabla1" displayName="Tabla1" ref="A1:B5" totalsRowShown="0">
  <autoFilter ref="A1:B5" xr:uid="{2B614BBA-0994-40B6-B859-B7508C425D3C}"/>
  <tableColumns count="2">
    <tableColumn id="1" xr3:uid="{33F665BE-9BE2-40DE-AAED-2B42664020F1}" name="categoria"/>
    <tableColumn id="2" xr3:uid="{04B94094-E3AE-4ECC-8DCB-90E4DC1A28E6}" name="tasa impuesto" dataDxfId="2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1A47D-D370-46CA-9639-50D6E1C6CEB5}">
  <dimension ref="A1:D17"/>
  <sheetViews>
    <sheetView tabSelected="1" workbookViewId="0">
      <selection activeCell="D2" sqref="D2"/>
    </sheetView>
  </sheetViews>
  <sheetFormatPr baseColWidth="10" defaultRowHeight="15" x14ac:dyDescent="0.25"/>
  <cols>
    <col min="2" max="2" width="23.7109375" customWidth="1"/>
    <col min="3" max="3" width="36.5703125" customWidth="1"/>
    <col min="4" max="4" width="37.28515625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4</v>
      </c>
    </row>
    <row r="2" spans="1:4" x14ac:dyDescent="0.25">
      <c r="A2">
        <v>465415</v>
      </c>
      <c r="B2" t="s">
        <v>6</v>
      </c>
      <c r="C2" t="s">
        <v>5</v>
      </c>
      <c r="D2">
        <f>VLOOKUP(Tabla2[[#This Row],[ categoria producto]],Tabla1[],2,FALSE)</f>
        <v>0.05</v>
      </c>
    </row>
    <row r="3" spans="1:4" x14ac:dyDescent="0.25">
      <c r="A3">
        <v>415414</v>
      </c>
      <c r="B3" t="s">
        <v>8</v>
      </c>
      <c r="C3" t="s">
        <v>7</v>
      </c>
      <c r="D3">
        <f>VLOOKUP(Tabla2[[#This Row],[ categoria producto]],Tabla1[],2,FALSE)</f>
        <v>0.12</v>
      </c>
    </row>
    <row r="4" spans="1:4" x14ac:dyDescent="0.25">
      <c r="A4">
        <v>156415</v>
      </c>
      <c r="B4" t="s">
        <v>9</v>
      </c>
      <c r="C4" t="s">
        <v>5</v>
      </c>
      <c r="D4">
        <f>VLOOKUP(Tabla2[[#This Row],[ categoria producto]],Tabla1[],2,FALSE)</f>
        <v>0.05</v>
      </c>
    </row>
    <row r="5" spans="1:4" x14ac:dyDescent="0.25">
      <c r="A5">
        <v>156164</v>
      </c>
      <c r="B5" t="s">
        <v>10</v>
      </c>
      <c r="C5" t="s">
        <v>7</v>
      </c>
      <c r="D5">
        <f>VLOOKUP(Tabla2[[#This Row],[ categoria producto]],Tabla1[],2,FALSE)</f>
        <v>0.12</v>
      </c>
    </row>
    <row r="6" spans="1:4" x14ac:dyDescent="0.25">
      <c r="A6">
        <v>15165</v>
      </c>
      <c r="B6" t="s">
        <v>15</v>
      </c>
      <c r="C6" t="s">
        <v>7</v>
      </c>
      <c r="D6">
        <f>VLOOKUP(Tabla2[[#This Row],[ categoria producto]],Tabla1[],2,FALSE)</f>
        <v>0.12</v>
      </c>
    </row>
    <row r="7" spans="1:4" x14ac:dyDescent="0.25">
      <c r="A7">
        <v>1561651</v>
      </c>
      <c r="B7" t="s">
        <v>8</v>
      </c>
      <c r="C7" t="s">
        <v>7</v>
      </c>
      <c r="D7">
        <f>VLOOKUP(Tabla2[[#This Row],[ categoria producto]],Tabla1[],2,FALSE)</f>
        <v>0.12</v>
      </c>
    </row>
    <row r="8" spans="1:4" x14ac:dyDescent="0.25">
      <c r="A8">
        <v>5615154</v>
      </c>
      <c r="B8" t="s">
        <v>11</v>
      </c>
      <c r="C8" t="s">
        <v>5</v>
      </c>
      <c r="D8">
        <f>VLOOKUP(Tabla2[[#This Row],[ categoria producto]],Tabla1[],2,FALSE)</f>
        <v>0.05</v>
      </c>
    </row>
    <row r="9" spans="1:4" x14ac:dyDescent="0.25">
      <c r="A9">
        <v>6415211</v>
      </c>
      <c r="B9" t="s">
        <v>12</v>
      </c>
      <c r="C9" t="s">
        <v>7</v>
      </c>
      <c r="D9">
        <f>VLOOKUP(Tabla2[[#This Row],[ categoria producto]],Tabla1[],2,FALSE)</f>
        <v>0.12</v>
      </c>
    </row>
    <row r="10" spans="1:4" x14ac:dyDescent="0.25">
      <c r="A10">
        <v>65165145</v>
      </c>
      <c r="B10" t="s">
        <v>13</v>
      </c>
      <c r="C10" t="s">
        <v>7</v>
      </c>
      <c r="D10">
        <f>VLOOKUP(Tabla2[[#This Row],[ categoria producto]],Tabla1[],2,FALSE)</f>
        <v>0.12</v>
      </c>
    </row>
    <row r="11" spans="1:4" x14ac:dyDescent="0.25">
      <c r="A11">
        <v>6262561</v>
      </c>
      <c r="B11" t="s">
        <v>6</v>
      </c>
      <c r="C11" t="s">
        <v>5</v>
      </c>
      <c r="D11">
        <f>VLOOKUP(Tabla2[[#This Row],[ categoria producto]],Tabla1[],2,FALSE)</f>
        <v>0.05</v>
      </c>
    </row>
    <row r="12" spans="1:4" x14ac:dyDescent="0.25">
      <c r="A12">
        <v>156156</v>
      </c>
      <c r="B12" t="s">
        <v>8</v>
      </c>
      <c r="C12" t="s">
        <v>7</v>
      </c>
      <c r="D12">
        <f>VLOOKUP(Tabla2[[#This Row],[ categoria producto]],Tabla1[],2,FALSE)</f>
        <v>0.12</v>
      </c>
    </row>
    <row r="13" spans="1:4" x14ac:dyDescent="0.25">
      <c r="A13">
        <v>15612114</v>
      </c>
      <c r="B13" t="s">
        <v>14</v>
      </c>
      <c r="C13" t="s">
        <v>7</v>
      </c>
      <c r="D13">
        <f>VLOOKUP(Tabla2[[#This Row],[ categoria producto]],Tabla1[],2,FALSE)</f>
        <v>0.12</v>
      </c>
    </row>
    <row r="14" spans="1:4" x14ac:dyDescent="0.25">
      <c r="A14">
        <v>51515121</v>
      </c>
      <c r="B14" t="s">
        <v>15</v>
      </c>
      <c r="C14" t="s">
        <v>7</v>
      </c>
      <c r="D14">
        <f>VLOOKUP(Tabla2[[#This Row],[ categoria producto]],Tabla1[],2,FALSE)</f>
        <v>0.12</v>
      </c>
    </row>
    <row r="15" spans="1:4" x14ac:dyDescent="0.25">
      <c r="A15">
        <v>5446512</v>
      </c>
      <c r="B15" t="s">
        <v>16</v>
      </c>
      <c r="C15" t="s">
        <v>7</v>
      </c>
      <c r="D15">
        <f>VLOOKUP(Tabla2[[#This Row],[ categoria producto]],Tabla1[],2,FALSE)</f>
        <v>0.12</v>
      </c>
    </row>
    <row r="16" spans="1:4" x14ac:dyDescent="0.25">
      <c r="A16">
        <v>154544121</v>
      </c>
      <c r="B16" t="s">
        <v>6</v>
      </c>
      <c r="C16" t="s">
        <v>5</v>
      </c>
      <c r="D16">
        <f>VLOOKUP(Tabla2[[#This Row],[ categoria producto]],Tabla1[],2,FALSE)</f>
        <v>0.05</v>
      </c>
    </row>
    <row r="17" spans="4:4" x14ac:dyDescent="0.25">
      <c r="D17" t="e">
        <f>VLOOKUP(Tabla2[[#This Row],[ categoria producto]],Tabla1[],2,FALSE)</f>
        <v>#N/A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AB9BA-11B4-4FEA-BF52-F7B15990487C}">
  <dimension ref="A1:B5"/>
  <sheetViews>
    <sheetView workbookViewId="0">
      <selection activeCell="A4" sqref="A4"/>
    </sheetView>
  </sheetViews>
  <sheetFormatPr baseColWidth="10" defaultRowHeight="15" x14ac:dyDescent="0.25"/>
  <cols>
    <col min="1" max="1" width="26.85546875" customWidth="1"/>
    <col min="2" max="2" width="26" customWidth="1"/>
  </cols>
  <sheetData>
    <row r="1" spans="1:2" x14ac:dyDescent="0.25">
      <c r="A1" t="s">
        <v>2</v>
      </c>
      <c r="B1" t="s">
        <v>17</v>
      </c>
    </row>
    <row r="2" spans="1:2" x14ac:dyDescent="0.25">
      <c r="A2" t="s">
        <v>7</v>
      </c>
      <c r="B2" s="1">
        <v>0.12</v>
      </c>
    </row>
    <row r="3" spans="1:2" x14ac:dyDescent="0.25">
      <c r="A3" t="s">
        <v>5</v>
      </c>
      <c r="B3" s="1">
        <v>0.05</v>
      </c>
    </row>
    <row r="4" spans="1:2" x14ac:dyDescent="0.25">
      <c r="A4" t="s">
        <v>18</v>
      </c>
      <c r="B4" s="1">
        <v>0.15</v>
      </c>
    </row>
    <row r="5" spans="1:2" x14ac:dyDescent="0.25">
      <c r="A5" t="s">
        <v>19</v>
      </c>
      <c r="B5" s="1">
        <v>0.08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</dc:creator>
  <cp:lastModifiedBy>karen</cp:lastModifiedBy>
  <dcterms:created xsi:type="dcterms:W3CDTF">2026-05-21T16:27:58Z</dcterms:created>
  <dcterms:modified xsi:type="dcterms:W3CDTF">2026-05-21T16:53:15Z</dcterms:modified>
</cp:coreProperties>
</file>